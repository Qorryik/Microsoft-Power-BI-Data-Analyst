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defaultThemeVersion="166925"/>
  <xr:revisionPtr revIDLastSave="0" documentId="13_ncr:1_{B8461E87-6E91-4401-84A7-65FB81936241}" xr6:coauthVersionLast="47" xr6:coauthVersionMax="47" xr10:uidLastSave="{00000000-0000-0000-0000-000000000000}"/>
  <bookViews>
    <workbookView xWindow="-110" yWindow="-110" windowWidth="19420" windowHeight="10300" activeTab="1" xr2:uid="{297C08D7-44D2-4C7A-9B4E-AB7329217DB1}"/>
  </bookViews>
  <sheets>
    <sheet name="TASK" sheetId="3" r:id="rId1"/>
    <sheet name="USA Launch Da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2" l="1"/>
  <c r="F7" i="2"/>
  <c r="F8" i="2"/>
  <c r="F9" i="2"/>
  <c r="F5" i="2"/>
  <c r="H6" i="2"/>
  <c r="H7" i="2"/>
  <c r="H8" i="2"/>
  <c r="H9" i="2"/>
  <c r="H5" i="2"/>
  <c r="G6" i="2"/>
  <c r="G7" i="2"/>
  <c r="G8" i="2"/>
  <c r="G9" i="2"/>
  <c r="G5" i="2"/>
  <c r="E6" i="2"/>
  <c r="E7" i="2"/>
  <c r="E8" i="2"/>
  <c r="E9" i="2"/>
  <c r="E5" i="2"/>
</calcChain>
</file>

<file path=xl/sharedStrings.xml><?xml version="1.0" encoding="utf-8"?>
<sst xmlns="http://schemas.openxmlformats.org/spreadsheetml/2006/main" count="55" uniqueCount="44">
  <si>
    <t>Current Date</t>
  </si>
  <si>
    <t>Product Category</t>
  </si>
  <si>
    <t>Supplier</t>
  </si>
  <si>
    <t>Project Start Date</t>
  </si>
  <si>
    <t>Campaign Launch Date</t>
  </si>
  <si>
    <t xml:space="preserve">Calendar Days to launch </t>
  </si>
  <si>
    <t>Number of Working Days to deadline</t>
  </si>
  <si>
    <t>Launch Month</t>
  </si>
  <si>
    <t>Launch Year</t>
  </si>
  <si>
    <t>USA Federal Holidays</t>
  </si>
  <si>
    <t>Tyres</t>
  </si>
  <si>
    <t>Tyresaz</t>
  </si>
  <si>
    <t>New Years Day</t>
  </si>
  <si>
    <t>Frames</t>
  </si>
  <si>
    <t>Imortadores Neptuno</t>
  </si>
  <si>
    <t>Martin Luther King Day</t>
  </si>
  <si>
    <t>Gear Components</t>
  </si>
  <si>
    <t>Z123</t>
  </si>
  <si>
    <t>Presidents Day</t>
  </si>
  <si>
    <t>Saddles</t>
  </si>
  <si>
    <t>Sadleab</t>
  </si>
  <si>
    <t>Memorial Day</t>
  </si>
  <si>
    <t>Brake Systems</t>
  </si>
  <si>
    <t>Cylesaz</t>
  </si>
  <si>
    <t>Juneteenth Day</t>
  </si>
  <si>
    <t>Independence Day</t>
  </si>
  <si>
    <t>Labor Day</t>
  </si>
  <si>
    <t>Columbus Day</t>
  </si>
  <si>
    <t>Veterans Day</t>
  </si>
  <si>
    <t>Thanksgiving</t>
  </si>
  <si>
    <t>Christmas Day</t>
  </si>
  <si>
    <t xml:space="preserve">In cell B1 create a formula using the TODAY function, which will always display the current calendar date. </t>
  </si>
  <si>
    <t xml:space="preserve">Delete the formula in B1 and type the date 05/09/23 into the cell. </t>
  </si>
  <si>
    <t xml:space="preserve">05/09/23 (MM/DD/YY)  → USA Format  </t>
  </si>
  <si>
    <t xml:space="preserve">09/05/23 (DD/MM/YY)  → European Format </t>
  </si>
  <si>
    <t>In cell E5, create a formula that calculates the number of calendar days between the date in B1 and the deadline date in D5. This must be a subtraction formula.</t>
  </si>
  <si>
    <t>In cell F5 create a formula using the NETWORKDAYS function to calculate the number of weekdays between the date in B1 and the deadline in D5.</t>
  </si>
  <si>
    <t>Add an argument to the formula so that the Federal holiday dates in the cell range J5 to J26 are excluded from the result of the NETWORKDAYS calculation. You will need to add dollar signs to three of the cell references in the formula so that it can be copied down to row 9.</t>
  </si>
  <si>
    <t>In cell G5, use the MONTH function to create a formula that extracts the month from the deadline date in D5.</t>
  </si>
  <si>
    <t>In cell H5, create a formula using the YEAR function to extract the year from the deadline date in D5.</t>
  </si>
  <si>
    <t xml:space="preserve"> After completing calculations in row 5, copy them down to apply to all campaigns.</t>
  </si>
  <si>
    <r>
      <t xml:space="preserve">Note: </t>
    </r>
    <r>
      <rPr>
        <sz val="11"/>
        <color rgb="FF0D0F12"/>
        <rFont val="Calibri"/>
        <family val="2"/>
        <scheme val="minor"/>
      </rPr>
      <t>You are being asked to remove the dynamic formula and add the date as a static entry at this point so that you can compare the results you achieve in this exercise with the results in the Exemplar.</t>
    </r>
  </si>
  <si>
    <r>
      <t xml:space="preserve">TIP: </t>
    </r>
    <r>
      <rPr>
        <sz val="11"/>
        <color rgb="FF0D0F12"/>
        <rFont val="Calibri"/>
        <family val="2"/>
        <scheme val="minor"/>
      </rPr>
      <t xml:space="preserve">This formula will be copied down to row </t>
    </r>
    <r>
      <rPr>
        <b/>
        <sz val="11"/>
        <color rgb="FF0D0F12"/>
        <rFont val="Calibri"/>
        <family val="2"/>
        <scheme val="minor"/>
      </rPr>
      <t>9</t>
    </r>
    <r>
      <rPr>
        <sz val="11"/>
        <color rgb="FF0D0F12"/>
        <rFont val="Calibri"/>
        <family val="2"/>
        <scheme val="minor"/>
      </rPr>
      <t xml:space="preserve"> at the end of the exercise, so you’ll need to add dollar signs to the </t>
    </r>
    <r>
      <rPr>
        <b/>
        <sz val="11"/>
        <color rgb="FF0D0F12"/>
        <rFont val="Calibri"/>
        <family val="2"/>
        <scheme val="minor"/>
      </rPr>
      <t>B1</t>
    </r>
    <r>
      <rPr>
        <sz val="11"/>
        <color rgb="FF0D0F12"/>
        <rFont val="Calibri"/>
        <family val="2"/>
        <scheme val="minor"/>
      </rPr>
      <t xml:space="preserve"> reference to ensure that it stays constant during the copy operation.</t>
    </r>
  </si>
  <si>
    <r>
      <t>Tip</t>
    </r>
    <r>
      <rPr>
        <sz val="11"/>
        <color rgb="FF0D0F12"/>
        <rFont val="Calibri"/>
        <family val="2"/>
        <scheme val="minor"/>
      </rPr>
      <t xml:space="preserve">: Remember that Excel ignores any dates in the </t>
    </r>
    <r>
      <rPr>
        <b/>
        <sz val="11"/>
        <color rgb="FF0D0F12"/>
        <rFont val="Calibri"/>
        <family val="2"/>
        <scheme val="minor"/>
      </rPr>
      <t xml:space="preserve">J5 </t>
    </r>
    <r>
      <rPr>
        <sz val="11"/>
        <color rgb="FF0D0F12"/>
        <rFont val="Calibri"/>
        <family val="2"/>
        <scheme val="minor"/>
      </rPr>
      <t xml:space="preserve">to </t>
    </r>
    <r>
      <rPr>
        <b/>
        <sz val="11"/>
        <color rgb="FF0D0F12"/>
        <rFont val="Calibri"/>
        <family val="2"/>
        <scheme val="minor"/>
      </rPr>
      <t xml:space="preserve">J26 </t>
    </r>
    <r>
      <rPr>
        <sz val="11"/>
        <color rgb="FF0D0F12"/>
        <rFont val="Calibri"/>
        <family val="2"/>
        <scheme val="minor"/>
      </rPr>
      <t xml:space="preserve">block that are already in the past when calculating the formula. This means that you can include the full cell range </t>
    </r>
    <r>
      <rPr>
        <b/>
        <sz val="11"/>
        <color rgb="FF0D0F12"/>
        <rFont val="Calibri"/>
        <family val="2"/>
        <scheme val="minor"/>
      </rPr>
      <t xml:space="preserve">J5 </t>
    </r>
    <r>
      <rPr>
        <sz val="11"/>
        <color rgb="FF0D0F12"/>
        <rFont val="Calibri"/>
        <family val="2"/>
        <scheme val="minor"/>
      </rPr>
      <t xml:space="preserve">to </t>
    </r>
    <r>
      <rPr>
        <b/>
        <sz val="11"/>
        <color rgb="FF0D0F12"/>
        <rFont val="Calibri"/>
        <family val="2"/>
        <scheme val="minor"/>
      </rPr>
      <t xml:space="preserve">J26 </t>
    </r>
    <r>
      <rPr>
        <sz val="11"/>
        <color rgb="FF0D0F12"/>
        <rFont val="Calibri"/>
        <family val="2"/>
        <scheme val="minor"/>
      </rPr>
      <t>as the third argument in the formula.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</si>
</sst>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
    <numFmt numFmtId="166" formatCode="m/d/yy;@"/>
  </numFmts>
  <fonts count="7" x14ac:knownFonts="1">
    <font>
      <sz val="11"/>
      <color theme="1"/>
      <name val="Calibri"/>
      <family val="2"/>
      <scheme val="minor"/>
    </font>
    <font>
      <sz val="11"/>
      <color rgb="FF000000"/>
      <name val="Calibri"/>
      <family val="2"/>
      <scheme val="minor"/>
    </font>
    <font>
      <sz val="11"/>
      <color rgb="FF000000"/>
      <name val="Calibri"/>
      <family val="2"/>
    </font>
    <font>
      <b/>
      <sz val="11"/>
      <color rgb="FF305496"/>
      <name val="Calibri"/>
      <family val="2"/>
      <scheme val="minor"/>
    </font>
    <font>
      <b/>
      <sz val="11"/>
      <color rgb="FF305496"/>
      <name val="Calibri"/>
      <family val="2"/>
    </font>
    <font>
      <b/>
      <sz val="11"/>
      <color rgb="FF0D0F12"/>
      <name val="Calibri"/>
      <family val="2"/>
      <scheme val="minor"/>
    </font>
    <font>
      <sz val="11"/>
      <color rgb="FF0D0F12"/>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DDEBF7"/>
        <bgColor indexed="64"/>
      </patternFill>
    </fill>
  </fills>
  <borders count="8">
    <border>
      <left/>
      <right/>
      <top/>
      <bottom/>
      <diagonal/>
    </border>
    <border>
      <left style="thin">
        <color rgb="FFD0D7E5"/>
      </left>
      <right style="thin">
        <color rgb="FFD0D7E5"/>
      </right>
      <top style="thin">
        <color rgb="FFD0D7E5"/>
      </top>
      <bottom style="thin">
        <color rgb="FFD0D7E5"/>
      </bottom>
      <diagonal/>
    </border>
    <border>
      <left/>
      <right/>
      <top/>
      <bottom style="medium">
        <color indexed="64"/>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0" borderId="0" xfId="0" applyFont="1"/>
    <xf numFmtId="0" fontId="2" fillId="0" borderId="1" xfId="0" applyFont="1" applyBorder="1" applyAlignment="1">
      <alignment vertical="center" wrapText="1"/>
    </xf>
    <xf numFmtId="0" fontId="3" fillId="2" borderId="2" xfId="0" applyFont="1" applyFill="1" applyBorder="1" applyAlignment="1">
      <alignment horizontal="center" vertical="center" wrapText="1"/>
    </xf>
    <xf numFmtId="164" fontId="0" fillId="0" borderId="0" xfId="0" applyNumberFormat="1"/>
    <xf numFmtId="165" fontId="0" fillId="0" borderId="0" xfId="0" applyNumberFormat="1"/>
    <xf numFmtId="14" fontId="0" fillId="0" borderId="0" xfId="0" applyNumberFormat="1"/>
    <xf numFmtId="0" fontId="3" fillId="0" borderId="0" xfId="0" applyFont="1" applyAlignment="1">
      <alignment horizontal="right"/>
    </xf>
    <xf numFmtId="0" fontId="2" fillId="0" borderId="0" xfId="0" applyFont="1"/>
    <xf numFmtId="14" fontId="2" fillId="0" borderId="0" xfId="0" applyNumberFormat="1" applyFont="1"/>
    <xf numFmtId="166" fontId="0" fillId="0" borderId="0" xfId="0" applyNumberFormat="1"/>
    <xf numFmtId="0" fontId="4" fillId="3" borderId="3" xfId="0" applyFont="1" applyFill="1" applyBorder="1" applyAlignment="1">
      <alignment horizontal="center" vertical="center"/>
    </xf>
    <xf numFmtId="0" fontId="0" fillId="0" borderId="0" xfId="0"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vertical="center" wrapText="1"/>
    </xf>
    <xf numFmtId="0" fontId="0" fillId="0" borderId="4" xfId="0" applyFont="1" applyBorder="1" applyAlignment="1">
      <alignment horizontal="center" vertical="center"/>
    </xf>
    <xf numFmtId="0" fontId="5" fillId="0" borderId="4" xfId="0" applyFont="1" applyBorder="1" applyAlignment="1">
      <alignment vertical="center" wrapText="1"/>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DFB1-D7F1-4F88-82F7-2EA011247F1C}">
  <dimension ref="A1:B13"/>
  <sheetViews>
    <sheetView workbookViewId="0">
      <selection activeCell="B8" sqref="B8"/>
    </sheetView>
  </sheetViews>
  <sheetFormatPr defaultRowHeight="14.5" x14ac:dyDescent="0.35"/>
  <cols>
    <col min="1" max="1" width="7.26953125" style="12" customWidth="1"/>
    <col min="2" max="2" width="80.08984375" customWidth="1"/>
  </cols>
  <sheetData>
    <row r="1" spans="1:2" ht="29" x14ac:dyDescent="0.35">
      <c r="A1" s="13">
        <v>1</v>
      </c>
      <c r="B1" s="14" t="s">
        <v>31</v>
      </c>
    </row>
    <row r="2" spans="1:2" x14ac:dyDescent="0.35">
      <c r="A2" s="15">
        <v>2</v>
      </c>
      <c r="B2" s="14" t="s">
        <v>32</v>
      </c>
    </row>
    <row r="3" spans="1:2" ht="43.5" x14ac:dyDescent="0.35">
      <c r="A3" s="15"/>
      <c r="B3" s="16" t="s">
        <v>41</v>
      </c>
    </row>
    <row r="4" spans="1:2" x14ac:dyDescent="0.35">
      <c r="A4" s="15"/>
      <c r="B4" s="14" t="s">
        <v>33</v>
      </c>
    </row>
    <row r="5" spans="1:2" x14ac:dyDescent="0.35">
      <c r="A5" s="15"/>
      <c r="B5" s="14" t="s">
        <v>34</v>
      </c>
    </row>
    <row r="6" spans="1:2" ht="29" x14ac:dyDescent="0.35">
      <c r="A6" s="17">
        <v>3</v>
      </c>
      <c r="B6" s="14" t="s">
        <v>35</v>
      </c>
    </row>
    <row r="7" spans="1:2" ht="37" customHeight="1" x14ac:dyDescent="0.35">
      <c r="A7" s="18"/>
      <c r="B7" s="16" t="s">
        <v>42</v>
      </c>
    </row>
    <row r="8" spans="1:2" ht="29" x14ac:dyDescent="0.35">
      <c r="A8" s="17">
        <v>4</v>
      </c>
      <c r="B8" s="14" t="s">
        <v>36</v>
      </c>
    </row>
    <row r="9" spans="1:2" ht="43.5" x14ac:dyDescent="0.35">
      <c r="A9" s="19"/>
      <c r="B9" s="14" t="s">
        <v>37</v>
      </c>
    </row>
    <row r="10" spans="1:2" ht="43.5" x14ac:dyDescent="0.35">
      <c r="A10" s="18"/>
      <c r="B10" s="16" t="s">
        <v>43</v>
      </c>
    </row>
    <row r="11" spans="1:2" ht="29" x14ac:dyDescent="0.35">
      <c r="A11" s="13">
        <v>5</v>
      </c>
      <c r="B11" s="14" t="s">
        <v>38</v>
      </c>
    </row>
    <row r="12" spans="1:2" ht="29" x14ac:dyDescent="0.35">
      <c r="A12" s="13">
        <v>6</v>
      </c>
      <c r="B12" s="14" t="s">
        <v>39</v>
      </c>
    </row>
    <row r="13" spans="1:2" x14ac:dyDescent="0.35">
      <c r="A13" s="13">
        <v>7</v>
      </c>
      <c r="B13" s="14" t="s">
        <v>40</v>
      </c>
    </row>
  </sheetData>
  <mergeCells count="3">
    <mergeCell ref="A2:A5"/>
    <mergeCell ref="A6:A7"/>
    <mergeCell ref="A8:A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62050-65D0-4B66-99DB-440691FE41F3}">
  <dimension ref="A1:S26"/>
  <sheetViews>
    <sheetView tabSelected="1" workbookViewId="0">
      <selection activeCell="F8" sqref="F8"/>
    </sheetView>
  </sheetViews>
  <sheetFormatPr defaultRowHeight="14.5" x14ac:dyDescent="0.35"/>
  <cols>
    <col min="1" max="1" width="13.54296875" customWidth="1"/>
    <col min="2" max="2" width="20.453125" bestFit="1" customWidth="1"/>
    <col min="3" max="3" width="18.81640625" customWidth="1"/>
    <col min="4" max="4" width="16.453125" customWidth="1"/>
    <col min="5" max="5" width="18.1796875" customWidth="1"/>
    <col min="6" max="6" width="19.453125" customWidth="1"/>
    <col min="7" max="7" width="10.54296875" customWidth="1"/>
    <col min="8" max="8" width="9.453125" customWidth="1"/>
    <col min="9" max="9" width="11.453125" customWidth="1"/>
    <col min="10" max="10" width="14" customWidth="1"/>
    <col min="11" max="11" width="21.7265625" bestFit="1" customWidth="1"/>
    <col min="13" max="13" width="13" customWidth="1"/>
    <col min="14" max="14" width="21.7265625" bestFit="1" customWidth="1"/>
    <col min="19" max="19" width="10.7265625" bestFit="1" customWidth="1"/>
  </cols>
  <sheetData>
    <row r="1" spans="1:19" x14ac:dyDescent="0.35">
      <c r="A1" s="7" t="s">
        <v>0</v>
      </c>
      <c r="B1" s="6">
        <v>45055</v>
      </c>
    </row>
    <row r="4" spans="1:19" ht="36.75" customHeight="1" x14ac:dyDescent="0.35">
      <c r="A4" s="3" t="s">
        <v>1</v>
      </c>
      <c r="B4" s="3" t="s">
        <v>2</v>
      </c>
      <c r="C4" s="3" t="s">
        <v>3</v>
      </c>
      <c r="D4" s="3" t="s">
        <v>4</v>
      </c>
      <c r="E4" s="3" t="s">
        <v>5</v>
      </c>
      <c r="F4" s="3" t="s">
        <v>6</v>
      </c>
      <c r="G4" s="3" t="s">
        <v>7</v>
      </c>
      <c r="H4" s="3" t="s">
        <v>8</v>
      </c>
      <c r="J4" s="11" t="s">
        <v>9</v>
      </c>
      <c r="K4" s="11"/>
    </row>
    <row r="5" spans="1:19" x14ac:dyDescent="0.35">
      <c r="A5" s="1" t="s">
        <v>10</v>
      </c>
      <c r="B5" s="1" t="s">
        <v>11</v>
      </c>
      <c r="C5" s="5">
        <v>45046</v>
      </c>
      <c r="D5" s="10">
        <v>45109</v>
      </c>
      <c r="E5">
        <f>D5-$B$1</f>
        <v>54</v>
      </c>
      <c r="F5">
        <f>NETWORKDAYS($B$1,D5,$J$5:$J$26)</f>
        <v>37</v>
      </c>
      <c r="G5">
        <f>MONTH(D5)</f>
        <v>7</v>
      </c>
      <c r="H5">
        <f>YEAR(D5)</f>
        <v>2023</v>
      </c>
      <c r="I5" s="5"/>
      <c r="J5" s="9">
        <v>44928</v>
      </c>
      <c r="K5" s="8" t="s">
        <v>12</v>
      </c>
    </row>
    <row r="6" spans="1:19" x14ac:dyDescent="0.35">
      <c r="A6" s="1" t="s">
        <v>13</v>
      </c>
      <c r="B6" s="1" t="s">
        <v>14</v>
      </c>
      <c r="C6" s="5">
        <v>45137</v>
      </c>
      <c r="D6" s="10">
        <v>45200</v>
      </c>
      <c r="E6">
        <f t="shared" ref="E6:E9" si="0">D6-$B$1</f>
        <v>145</v>
      </c>
      <c r="F6">
        <f t="shared" ref="F6:F9" si="1">NETWORKDAYS($B$1,D6,$J$5:$J$26)</f>
        <v>100</v>
      </c>
      <c r="G6">
        <f t="shared" ref="G6:G9" si="2">MONTH(D6)</f>
        <v>10</v>
      </c>
      <c r="H6">
        <f t="shared" ref="H6:H9" si="3">YEAR(D6)</f>
        <v>2023</v>
      </c>
      <c r="I6" s="5"/>
      <c r="J6" s="9">
        <v>44942</v>
      </c>
      <c r="K6" s="8" t="s">
        <v>15</v>
      </c>
    </row>
    <row r="7" spans="1:19" x14ac:dyDescent="0.35">
      <c r="A7" s="1" t="s">
        <v>16</v>
      </c>
      <c r="B7" s="2" t="s">
        <v>17</v>
      </c>
      <c r="C7" s="5">
        <v>45229</v>
      </c>
      <c r="D7" s="10">
        <v>45352</v>
      </c>
      <c r="E7">
        <f t="shared" si="0"/>
        <v>297</v>
      </c>
      <c r="F7">
        <f t="shared" si="1"/>
        <v>203</v>
      </c>
      <c r="G7">
        <f t="shared" si="2"/>
        <v>3</v>
      </c>
      <c r="H7">
        <f t="shared" si="3"/>
        <v>2024</v>
      </c>
      <c r="I7" s="5"/>
      <c r="J7" s="9">
        <v>44977</v>
      </c>
      <c r="K7" s="8" t="s">
        <v>18</v>
      </c>
    </row>
    <row r="8" spans="1:19" x14ac:dyDescent="0.35">
      <c r="A8" s="1" t="s">
        <v>19</v>
      </c>
      <c r="B8" s="1" t="s">
        <v>20</v>
      </c>
      <c r="C8" s="5">
        <v>45321</v>
      </c>
      <c r="D8" s="10">
        <v>45445</v>
      </c>
      <c r="E8">
        <f t="shared" si="0"/>
        <v>390</v>
      </c>
      <c r="F8">
        <f t="shared" si="1"/>
        <v>267</v>
      </c>
      <c r="G8">
        <f t="shared" si="2"/>
        <v>6</v>
      </c>
      <c r="H8">
        <f t="shared" si="3"/>
        <v>2024</v>
      </c>
      <c r="I8" s="5"/>
      <c r="J8" s="9">
        <v>45075</v>
      </c>
      <c r="K8" s="8" t="s">
        <v>21</v>
      </c>
    </row>
    <row r="9" spans="1:19" x14ac:dyDescent="0.35">
      <c r="A9" s="1" t="s">
        <v>22</v>
      </c>
      <c r="B9" t="s">
        <v>23</v>
      </c>
      <c r="C9" s="5">
        <v>45412</v>
      </c>
      <c r="D9" s="10">
        <v>45537</v>
      </c>
      <c r="E9">
        <f t="shared" si="0"/>
        <v>482</v>
      </c>
      <c r="F9">
        <f t="shared" si="1"/>
        <v>330</v>
      </c>
      <c r="G9">
        <f t="shared" si="2"/>
        <v>9</v>
      </c>
      <c r="H9">
        <f t="shared" si="3"/>
        <v>2024</v>
      </c>
      <c r="I9" s="5"/>
      <c r="J9" s="9">
        <v>45096</v>
      </c>
      <c r="K9" s="8" t="s">
        <v>24</v>
      </c>
    </row>
    <row r="10" spans="1:19" x14ac:dyDescent="0.35">
      <c r="E10" s="1"/>
      <c r="J10" s="9">
        <v>45111</v>
      </c>
      <c r="K10" s="8" t="s">
        <v>25</v>
      </c>
    </row>
    <row r="11" spans="1:19" x14ac:dyDescent="0.35">
      <c r="E11" s="1"/>
      <c r="J11" s="9">
        <v>45173</v>
      </c>
      <c r="K11" s="8" t="s">
        <v>26</v>
      </c>
      <c r="S11" s="4"/>
    </row>
    <row r="12" spans="1:19" x14ac:dyDescent="0.35">
      <c r="E12" s="1"/>
      <c r="J12" s="9">
        <v>45208</v>
      </c>
      <c r="K12" s="8" t="s">
        <v>27</v>
      </c>
      <c r="S12" s="4"/>
    </row>
    <row r="13" spans="1:19" x14ac:dyDescent="0.35">
      <c r="E13" s="1"/>
      <c r="J13" s="9">
        <v>45240</v>
      </c>
      <c r="K13" s="8" t="s">
        <v>28</v>
      </c>
    </row>
    <row r="14" spans="1:19" x14ac:dyDescent="0.35">
      <c r="E14" s="1"/>
      <c r="J14" s="9">
        <v>45253</v>
      </c>
      <c r="K14" s="8" t="s">
        <v>29</v>
      </c>
    </row>
    <row r="15" spans="1:19" x14ac:dyDescent="0.35">
      <c r="E15" s="1"/>
      <c r="J15" s="9">
        <v>45285</v>
      </c>
      <c r="K15" s="8" t="s">
        <v>30</v>
      </c>
    </row>
    <row r="16" spans="1:19" x14ac:dyDescent="0.35">
      <c r="E16" s="1"/>
      <c r="J16" s="6">
        <v>45292</v>
      </c>
      <c r="K16" t="s">
        <v>12</v>
      </c>
    </row>
    <row r="17" spans="5:11" x14ac:dyDescent="0.35">
      <c r="E17" s="1"/>
      <c r="J17" s="6">
        <v>45306</v>
      </c>
      <c r="K17" t="s">
        <v>15</v>
      </c>
    </row>
    <row r="18" spans="5:11" x14ac:dyDescent="0.35">
      <c r="E18" s="1"/>
      <c r="J18" s="6">
        <v>45341</v>
      </c>
      <c r="K18" t="s">
        <v>18</v>
      </c>
    </row>
    <row r="19" spans="5:11" x14ac:dyDescent="0.35">
      <c r="J19" s="6">
        <v>45439</v>
      </c>
      <c r="K19" t="s">
        <v>21</v>
      </c>
    </row>
    <row r="20" spans="5:11" x14ac:dyDescent="0.35">
      <c r="J20" s="6">
        <v>45462</v>
      </c>
      <c r="K20" t="s">
        <v>24</v>
      </c>
    </row>
    <row r="21" spans="5:11" x14ac:dyDescent="0.35">
      <c r="J21" s="6">
        <v>45477</v>
      </c>
      <c r="K21" t="s">
        <v>25</v>
      </c>
    </row>
    <row r="22" spans="5:11" x14ac:dyDescent="0.35">
      <c r="J22" s="6">
        <v>45537</v>
      </c>
      <c r="K22" t="s">
        <v>26</v>
      </c>
    </row>
    <row r="23" spans="5:11" x14ac:dyDescent="0.35">
      <c r="J23" s="6">
        <v>45579</v>
      </c>
      <c r="K23" t="s">
        <v>27</v>
      </c>
    </row>
    <row r="24" spans="5:11" x14ac:dyDescent="0.35">
      <c r="J24" s="6">
        <v>45607</v>
      </c>
      <c r="K24" t="s">
        <v>28</v>
      </c>
    </row>
    <row r="25" spans="5:11" x14ac:dyDescent="0.35">
      <c r="J25" s="6">
        <v>45624</v>
      </c>
      <c r="K25" t="s">
        <v>29</v>
      </c>
    </row>
    <row r="26" spans="5:11" x14ac:dyDescent="0.35">
      <c r="J26" s="6">
        <v>45651</v>
      </c>
      <c r="K26" t="s">
        <v>30</v>
      </c>
    </row>
  </sheetData>
  <mergeCells count="1">
    <mergeCell ref="J4:K4"/>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2" ma:contentTypeDescription="Create a new document." ma:contentTypeScope="" ma:versionID="5791f7a1e5ce60c682c7fd472657cfed">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c4db72e02b896ab7bb9242ff846c9720"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SharedWithUsers xmlns="15179a99-4cef-4bac-ab20-a4c03d7ec5db">
      <UserInfo>
        <DisplayName/>
        <AccountId xsi:nil="true"/>
        <AccountType/>
      </UserInfo>
    </SharedWithUsers>
    <MediaLengthInSeconds xmlns="2aed4346-8012-4133-9837-e496d0f5c99a" xsi:nil="true"/>
  </documentManagement>
</p:properties>
</file>

<file path=customXml/itemProps1.xml><?xml version="1.0" encoding="utf-8"?>
<ds:datastoreItem xmlns:ds="http://schemas.openxmlformats.org/officeDocument/2006/customXml" ds:itemID="{351A5F2B-D8CD-4279-87CB-84E5D8D6C385}">
  <ds:schemaRefs>
    <ds:schemaRef ds:uri="http://schemas.microsoft.com/sharepoint/v3/contenttype/forms"/>
  </ds:schemaRefs>
</ds:datastoreItem>
</file>

<file path=customXml/itemProps2.xml><?xml version="1.0" encoding="utf-8"?>
<ds:datastoreItem xmlns:ds="http://schemas.openxmlformats.org/officeDocument/2006/customXml" ds:itemID="{837DAFCD-716E-4AC4-AFB9-0968214273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39B921-E783-4494-B2B9-84430F2E28A8}">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USA Launch Dates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2023-05-08T16:28:25Z</dcterms:created>
  <dcterms:modified xsi:type="dcterms:W3CDTF">2026-07-19T01:28:35Z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Order">
    <vt:r8>265200</vt:r8>
  </property>
  <property fmtid="{D5CDD505-2E9C-101B-9397-08002B2CF9AE}" pid="4" name="_SourceUrl">
    <vt:lpwstr/>
  </property>
  <property fmtid="{D5CDD505-2E9C-101B-9397-08002B2CF9AE}" pid="5" name="_SharedFileIndex">
    <vt:lpwstr/>
  </property>
  <property fmtid="{D5CDD505-2E9C-101B-9397-08002B2CF9AE}" pid="6" name="_ColorHex">
    <vt:lpwstr/>
  </property>
  <property fmtid="{D5CDD505-2E9C-101B-9397-08002B2CF9AE}" pid="7" name="_Emoji">
    <vt:lpwstr/>
  </property>
  <property fmtid="{D5CDD505-2E9C-101B-9397-08002B2CF9AE}" pid="8" name="ComplianceAssetId">
    <vt:lpwstr/>
  </property>
  <property fmtid="{D5CDD505-2E9C-101B-9397-08002B2CF9AE}" pid="9" name="_ExtendedDescription">
    <vt:lpwstr/>
  </property>
  <property fmtid="{D5CDD505-2E9C-101B-9397-08002B2CF9AE}" pid="10" name="_ColorTag">
    <vt:lpwstr/>
  </property>
  <property fmtid="{D5CDD505-2E9C-101B-9397-08002B2CF9AE}" pid="11" name="TriggerFlowInfo">
    <vt:lpwstr/>
  </property>
  <property fmtid="{D5CDD505-2E9C-101B-9397-08002B2CF9AE}" pid="12" name="MediaServiceImageTags">
    <vt:lpwstr/>
  </property>
</Properties>
</file>