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filterPrivacy="1" defaultThemeVersion="166925"/>
  <xr:revisionPtr revIDLastSave="0" documentId="13_ncr:1_{FEA7183C-0C4B-4A50-BCA6-583D7255F54B}" xr6:coauthVersionLast="47" xr6:coauthVersionMax="47" xr10:uidLastSave="{00000000-0000-0000-0000-000000000000}"/>
  <bookViews>
    <workbookView xWindow="-110" yWindow="-110" windowWidth="19420" windowHeight="10300" activeTab="1" xr2:uid="{622B0F4C-E256-446E-B5AC-66D6225C39AF}"/>
  </bookViews>
  <sheets>
    <sheet name="TASK" sheetId="2" r:id="rId1"/>
    <sheet name="Order Details"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 i="1" l="1"/>
  <c r="H3" i="1"/>
  <c r="H2" i="1"/>
  <c r="M8" i="1"/>
  <c r="M9" i="1"/>
  <c r="M10" i="1"/>
  <c r="M11" i="1"/>
  <c r="M12" i="1"/>
  <c r="M13" i="1"/>
  <c r="M14" i="1"/>
  <c r="M15" i="1"/>
  <c r="M16" i="1"/>
  <c r="M7" i="1"/>
  <c r="L8" i="1" a="1"/>
  <c r="L8" i="1"/>
  <c r="L9" i="1" a="1"/>
  <c r="L9" i="1"/>
  <c r="L10" i="1" a="1"/>
  <c r="L10" i="1"/>
  <c r="L11" i="1" a="1"/>
  <c r="L11" i="1"/>
  <c r="L12" i="1" a="1"/>
  <c r="L12" i="1"/>
  <c r="L13" i="1" a="1"/>
  <c r="L13" i="1"/>
  <c r="L14" i="1" a="1"/>
  <c r="L14" i="1"/>
  <c r="L15" i="1" a="1"/>
  <c r="L15" i="1"/>
  <c r="L16" i="1" a="1"/>
  <c r="L16" i="1"/>
  <c r="L7" i="1" a="1"/>
  <c r="L7" i="1" s="1"/>
  <c r="H7" i="1"/>
  <c r="H8" i="1"/>
  <c r="H9" i="1"/>
  <c r="H10" i="1"/>
  <c r="H11" i="1"/>
  <c r="H12" i="1"/>
  <c r="H13" i="1"/>
  <c r="H14" i="1"/>
  <c r="H15" i="1"/>
  <c r="H16" i="1"/>
  <c r="I8" i="1"/>
  <c r="I16" i="1"/>
  <c r="I15" i="1" l="1"/>
  <c r="I14" i="1"/>
  <c r="I13" i="1"/>
  <c r="K13" i="1" s="1"/>
  <c r="I12" i="1"/>
  <c r="K12" i="1" s="1"/>
  <c r="I11" i="1"/>
  <c r="K11" i="1" s="1"/>
  <c r="I9" i="1"/>
  <c r="K9" i="1" s="1"/>
  <c r="I10" i="1"/>
  <c r="K10" i="1" s="1"/>
  <c r="I7" i="1"/>
  <c r="K7" i="1" s="1"/>
  <c r="K15" i="1"/>
  <c r="K14" i="1"/>
  <c r="K16" i="1"/>
  <c r="K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<sst xmlns="http://schemas.openxmlformats.org/spreadsheetml/2006/main" count="87" uniqueCount="67">
  <si>
    <t>Pricing Sheet</t>
  </si>
  <si>
    <t>Delivery Charges</t>
  </si>
  <si>
    <t>Total Sales by Region</t>
  </si>
  <si>
    <t>Region A</t>
  </si>
  <si>
    <t>Region B</t>
  </si>
  <si>
    <t>Region C</t>
  </si>
  <si>
    <t>Stock Code</t>
  </si>
  <si>
    <t>Category</t>
  </si>
  <si>
    <t>Type</t>
  </si>
  <si>
    <t>Supplier</t>
  </si>
  <si>
    <t>Cost per Unit</t>
  </si>
  <si>
    <t>Quantity Ordered</t>
  </si>
  <si>
    <t>Subtotal</t>
  </si>
  <si>
    <t>Discount Rate</t>
  </si>
  <si>
    <t>Discount Amount</t>
  </si>
  <si>
    <t>Delivery Region</t>
  </si>
  <si>
    <t>Total (excluding delivery)</t>
  </si>
  <si>
    <t>Delivery Charge</t>
  </si>
  <si>
    <t>Total (Including Delivery)</t>
  </si>
  <si>
    <t>BT108</t>
  </si>
  <si>
    <t>Tyres</t>
  </si>
  <si>
    <t>Tubular</t>
  </si>
  <si>
    <t>Tyresaz</t>
  </si>
  <si>
    <t>B</t>
  </si>
  <si>
    <t>BT109</t>
  </si>
  <si>
    <t>Clincher</t>
  </si>
  <si>
    <t>A</t>
  </si>
  <si>
    <t>SC224</t>
  </si>
  <si>
    <t>Frames</t>
  </si>
  <si>
    <t>A2Mountain</t>
  </si>
  <si>
    <t>Imortadores Neptuno</t>
  </si>
  <si>
    <t>SC225</t>
  </si>
  <si>
    <t>14City</t>
  </si>
  <si>
    <t>C</t>
  </si>
  <si>
    <t>JF187</t>
  </si>
  <si>
    <t>Gear Components</t>
  </si>
  <si>
    <t>derailleurs</t>
  </si>
  <si>
    <t>Z123</t>
  </si>
  <si>
    <t>JF188</t>
  </si>
  <si>
    <t>belt drives</t>
  </si>
  <si>
    <t>SN306</t>
  </si>
  <si>
    <t>Saddles</t>
  </si>
  <si>
    <t>All Weather</t>
  </si>
  <si>
    <t>Sadleab</t>
  </si>
  <si>
    <t>SN307</t>
  </si>
  <si>
    <t>Racing</t>
  </si>
  <si>
    <t>BS509</t>
  </si>
  <si>
    <t>Brake Systems</t>
  </si>
  <si>
    <t>Levers</t>
  </si>
  <si>
    <t>Cylesaz</t>
  </si>
  <si>
    <t>BS510</t>
  </si>
  <si>
    <t>Cables</t>
  </si>
  <si>
    <t xml:space="preserve">Use an IF function to create a formula in cell H7. This formula must check the subtotal amount in column G7. If the amount is greater than $10,000 then the formula should display the result 10%. If the amount is less than $10,000, then the formula should display the result as 0. </t>
  </si>
  <si>
    <t>Formula in Cell H7:</t>
  </si>
  <si>
    <t>"=IF(G7 &gt; 10000, 10%, 0)"</t>
  </si>
  <si>
    <t xml:space="preserve">Create a formula in cell L7 using the IFS function to calculate the delivery charge applicable to each row. The formula needs to check the delivery region listed in J7 and calculate the appropriate amount to charge. </t>
  </si>
  <si>
    <t>The cost for delivery to each region is listed in the cell range D2 to D4.If the delivery region is not A, B, or C, then the formula should return a value of 0. Include dollar signs to make the D references for the charges absolute.</t>
  </si>
  <si>
    <t xml:space="preserve">Create a formula in cell M7 that adds together the total (excluding the delivery amount) in K7 and the delivery charge in L7. </t>
  </si>
  <si>
    <t xml:space="preserve">Use Autofill to copy the formulas in H7, L7 and M7 down to row 16.
</t>
  </si>
  <si>
    <t xml:space="preserve">Create a SUMIF formula in cell H2 that calculates a sales total (excluding delivery) for Region A. </t>
  </si>
  <si>
    <t xml:space="preserve">Create a SUMIF formula in cell H3 that provides a sales total (excluding delivery) for Region B. </t>
  </si>
  <si>
    <t xml:space="preserve">Create a SUMIF formula in cell H4 that provides a sales total (excluding delivery) for Region C. </t>
  </si>
  <si>
    <r>
      <t>TIP:</t>
    </r>
    <r>
      <rPr>
        <sz val="11"/>
        <color rgb="FF0D0F12"/>
        <rFont val="Calibri"/>
        <family val="2"/>
        <scheme val="minor"/>
      </rPr>
      <t xml:space="preserve"> You can type 10% as the “value if true” entry. It does not need double quotes because Excel recognizes it as a number.</t>
    </r>
  </si>
  <si>
    <r>
      <t xml:space="preserve">TIP: </t>
    </r>
    <r>
      <rPr>
        <sz val="11"/>
        <color rgb="FF0D0F12"/>
        <rFont val="Calibri"/>
        <family val="2"/>
        <scheme val="minor"/>
      </rPr>
      <t xml:space="preserve">The </t>
    </r>
    <r>
      <rPr>
        <b/>
        <sz val="11"/>
        <color rgb="FF0D0F12"/>
        <rFont val="Calibri"/>
        <family val="2"/>
        <scheme val="minor"/>
      </rPr>
      <t>IFS function</t>
    </r>
    <r>
      <rPr>
        <sz val="11"/>
        <color rgb="FF0D0F12"/>
        <rFont val="Calibri"/>
        <family val="2"/>
        <scheme val="minor"/>
      </rPr>
      <t xml:space="preserve"> is a logical function that evaluates </t>
    </r>
    <r>
      <rPr>
        <b/>
        <sz val="11"/>
        <color rgb="FF0D0F12"/>
        <rFont val="Calibri"/>
        <family val="2"/>
        <scheme val="minor"/>
      </rPr>
      <t>multiple conditions</t>
    </r>
    <r>
      <rPr>
        <sz val="11"/>
        <color rgb="FF0D0F12"/>
        <rFont val="Calibri"/>
        <family val="2"/>
        <scheme val="minor"/>
      </rPr>
      <t xml:space="preserve"> in sequence. It is used as an alternative to </t>
    </r>
    <r>
      <rPr>
        <b/>
        <sz val="11"/>
        <color rgb="FF0D0F12"/>
        <rFont val="Calibri"/>
        <family val="2"/>
        <scheme val="minor"/>
      </rPr>
      <t>nested IF functions</t>
    </r>
    <r>
      <rPr>
        <sz val="11"/>
        <color rgb="FF0D0F12"/>
        <rFont val="Calibri"/>
        <family val="2"/>
        <scheme val="minor"/>
      </rPr>
      <t xml:space="preserve">, making formulas easier to read and manage. Don’t forget that the </t>
    </r>
    <r>
      <rPr>
        <b/>
        <sz val="11"/>
        <color rgb="FF0D0F12"/>
        <rFont val="Calibri"/>
        <family val="2"/>
        <scheme val="minor"/>
      </rPr>
      <t xml:space="preserve">IFS </t>
    </r>
    <r>
      <rPr>
        <sz val="11"/>
        <color rgb="FF0D0F12"/>
        <rFont val="Calibri"/>
        <family val="2"/>
        <scheme val="minor"/>
      </rPr>
      <t>function needs to test for text characters, and those characters need to be in double quotes in the formula so that Excel recognizes that they are text.</t>
    </r>
  </si>
  <si>
    <r>
      <t xml:space="preserve">TIP: </t>
    </r>
    <r>
      <rPr>
        <sz val="11"/>
        <color rgb="FF0D0F12"/>
        <rFont val="Calibri"/>
        <family val="2"/>
        <scheme val="minor"/>
      </rPr>
      <t xml:space="preserve">The </t>
    </r>
    <r>
      <rPr>
        <b/>
        <sz val="11"/>
        <color rgb="FF0D0F12"/>
        <rFont val="Calibri"/>
        <family val="2"/>
        <scheme val="minor"/>
      </rPr>
      <t xml:space="preserve">SUMIF </t>
    </r>
    <r>
      <rPr>
        <sz val="11"/>
        <color rgb="FF0D0F12"/>
        <rFont val="Calibri"/>
        <family val="2"/>
        <scheme val="minor"/>
      </rPr>
      <t xml:space="preserve">formula needs to check for criteria A in the cell range </t>
    </r>
    <r>
      <rPr>
        <b/>
        <sz val="11"/>
        <color rgb="FF0D0F12"/>
        <rFont val="Calibri"/>
        <family val="2"/>
        <scheme val="minor"/>
      </rPr>
      <t xml:space="preserve">J7 </t>
    </r>
    <r>
      <rPr>
        <sz val="11"/>
        <color rgb="FF0D0F12"/>
        <rFont val="Calibri"/>
        <family val="2"/>
        <scheme val="minor"/>
      </rPr>
      <t xml:space="preserve">to </t>
    </r>
    <r>
      <rPr>
        <b/>
        <sz val="11"/>
        <color rgb="FF0D0F12"/>
        <rFont val="Calibri"/>
        <family val="2"/>
        <scheme val="minor"/>
      </rPr>
      <t xml:space="preserve">J16 </t>
    </r>
    <r>
      <rPr>
        <sz val="11"/>
        <color rgb="FF0D0F12"/>
        <rFont val="Calibri"/>
        <family val="2"/>
        <scheme val="minor"/>
      </rPr>
      <t xml:space="preserve">and total the numbers in the cell range </t>
    </r>
    <r>
      <rPr>
        <b/>
        <sz val="11"/>
        <color rgb="FF0D0F12"/>
        <rFont val="Calibri"/>
        <family val="2"/>
        <scheme val="minor"/>
      </rPr>
      <t xml:space="preserve">K7 </t>
    </r>
    <r>
      <rPr>
        <sz val="11"/>
        <color rgb="FF0D0F12"/>
        <rFont val="Calibri"/>
        <family val="2"/>
        <scheme val="minor"/>
      </rPr>
      <t xml:space="preserve">to </t>
    </r>
    <r>
      <rPr>
        <b/>
        <sz val="11"/>
        <color rgb="FF0D0F12"/>
        <rFont val="Calibri"/>
        <family val="2"/>
        <scheme val="minor"/>
      </rPr>
      <t>K16</t>
    </r>
    <r>
      <rPr>
        <sz val="11"/>
        <color rgb="FF0D0F12"/>
        <rFont val="Calibri"/>
        <family val="2"/>
        <scheme val="minor"/>
      </rPr>
      <t>.</t>
    </r>
  </si>
  <si>
    <r>
      <t>TIP</t>
    </r>
    <r>
      <rPr>
        <sz val="11"/>
        <color rgb="FF0D0F12"/>
        <rFont val="Calibri"/>
        <family val="2"/>
        <scheme val="minor"/>
      </rPr>
      <t xml:space="preserve">: The </t>
    </r>
    <r>
      <rPr>
        <b/>
        <sz val="11"/>
        <color rgb="FF0D0F12"/>
        <rFont val="Calibri"/>
        <family val="2"/>
        <scheme val="minor"/>
      </rPr>
      <t xml:space="preserve">SUMIF </t>
    </r>
    <r>
      <rPr>
        <sz val="11"/>
        <color rgb="FF0D0F12"/>
        <rFont val="Calibri"/>
        <family val="2"/>
        <scheme val="minor"/>
      </rPr>
      <t xml:space="preserve">formula needs to check for criteria B in the cell range </t>
    </r>
    <r>
      <rPr>
        <b/>
        <sz val="11"/>
        <color rgb="FF0D0F12"/>
        <rFont val="Calibri"/>
        <family val="2"/>
        <scheme val="minor"/>
      </rPr>
      <t xml:space="preserve">J7 </t>
    </r>
    <r>
      <rPr>
        <sz val="11"/>
        <color rgb="FF0D0F12"/>
        <rFont val="Calibri"/>
        <family val="2"/>
        <scheme val="minor"/>
      </rPr>
      <t xml:space="preserve">to </t>
    </r>
    <r>
      <rPr>
        <b/>
        <sz val="11"/>
        <color rgb="FF0D0F12"/>
        <rFont val="Calibri"/>
        <family val="2"/>
        <scheme val="minor"/>
      </rPr>
      <t xml:space="preserve">J16 </t>
    </r>
    <r>
      <rPr>
        <sz val="11"/>
        <color rgb="FF0D0F12"/>
        <rFont val="Calibri"/>
        <family val="2"/>
        <scheme val="minor"/>
      </rPr>
      <t xml:space="preserve">and total the numbers in the cell range </t>
    </r>
    <r>
      <rPr>
        <b/>
        <sz val="11"/>
        <color rgb="FF0D0F12"/>
        <rFont val="Calibri"/>
        <family val="2"/>
        <scheme val="minor"/>
      </rPr>
      <t>K7</t>
    </r>
    <r>
      <rPr>
        <sz val="11"/>
        <color rgb="FF0D0F12"/>
        <rFont val="Calibri"/>
        <family val="2"/>
        <scheme val="minor"/>
      </rPr>
      <t xml:space="preserve"> to </t>
    </r>
    <r>
      <rPr>
        <b/>
        <sz val="11"/>
        <color rgb="FF0D0F12"/>
        <rFont val="Calibri"/>
        <family val="2"/>
        <scheme val="minor"/>
      </rPr>
      <t>K16</t>
    </r>
    <r>
      <rPr>
        <sz val="11"/>
        <color rgb="FF0D0F12"/>
        <rFont val="Calibri"/>
        <family val="2"/>
        <scheme val="minor"/>
      </rPr>
      <t>.</t>
    </r>
  </si>
  <si>
    <r>
      <t xml:space="preserve">TIP: </t>
    </r>
    <r>
      <rPr>
        <sz val="11"/>
        <color rgb="FF0D0F12"/>
        <rFont val="Calibri"/>
        <family val="2"/>
        <scheme val="minor"/>
      </rPr>
      <t xml:space="preserve">The </t>
    </r>
    <r>
      <rPr>
        <b/>
        <sz val="11"/>
        <color rgb="FF0D0F12"/>
        <rFont val="Calibri"/>
        <family val="2"/>
        <scheme val="minor"/>
      </rPr>
      <t xml:space="preserve">SUMIF </t>
    </r>
    <r>
      <rPr>
        <sz val="11"/>
        <color rgb="FF0D0F12"/>
        <rFont val="Calibri"/>
        <family val="2"/>
        <scheme val="minor"/>
      </rPr>
      <t xml:space="preserve">formula needs to check for criteria C in the cell range </t>
    </r>
    <r>
      <rPr>
        <b/>
        <sz val="11"/>
        <color rgb="FF0D0F12"/>
        <rFont val="Calibri"/>
        <family val="2"/>
        <scheme val="minor"/>
      </rPr>
      <t xml:space="preserve">J7 </t>
    </r>
    <r>
      <rPr>
        <sz val="11"/>
        <color rgb="FF0D0F12"/>
        <rFont val="Calibri"/>
        <family val="2"/>
        <scheme val="minor"/>
      </rPr>
      <t xml:space="preserve">to </t>
    </r>
    <r>
      <rPr>
        <b/>
        <sz val="11"/>
        <color rgb="FF0D0F12"/>
        <rFont val="Calibri"/>
        <family val="2"/>
        <scheme val="minor"/>
      </rPr>
      <t xml:space="preserve">J16 </t>
    </r>
    <r>
      <rPr>
        <sz val="11"/>
        <color rgb="FF0D0F12"/>
        <rFont val="Calibri"/>
        <family val="2"/>
        <scheme val="minor"/>
      </rPr>
      <t xml:space="preserve">and total the numbers in the cell range </t>
    </r>
    <r>
      <rPr>
        <b/>
        <sz val="11"/>
        <color rgb="FF0D0F12"/>
        <rFont val="Calibri"/>
        <family val="2"/>
        <scheme val="minor"/>
      </rPr>
      <t xml:space="preserve">K7 </t>
    </r>
    <r>
      <rPr>
        <sz val="11"/>
        <color rgb="FF0D0F12"/>
        <rFont val="Calibri"/>
        <family val="2"/>
        <scheme val="minor"/>
      </rPr>
      <t xml:space="preserve">to </t>
    </r>
    <r>
      <rPr>
        <b/>
        <sz val="11"/>
        <color rgb="FF0D0F12"/>
        <rFont val="Calibri"/>
        <family val="2"/>
        <scheme val="minor"/>
      </rPr>
      <t>K16</t>
    </r>
    <r>
      <rPr>
        <sz val="11"/>
        <color rgb="FF0D0F12"/>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</si>
</sst>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409]* #,##0.00_ ;_-[$$-409]* \-#,##0.00\ ;_-[$$-409]* &quot;-&quot;??_ ;_-@_ "/>
  </numFmts>
  <fonts count="11" x14ac:knownFonts="1">
    <font>
      <sz val="11"/>
      <color theme="1"/>
      <name val="Calibri"/>
      <family val="2"/>
      <scheme val="minor"/>
    </font>
    <font>
      <b/>
      <sz val="14"/>
      <color rgb="FF305496"/>
      <name val="Calibri"/>
      <family val="2"/>
      <scheme val="minor"/>
    </font>
    <font>
      <sz val="11"/>
      <color rgb="FF000000"/>
      <name val="Calibri"/>
      <family val="2"/>
      <scheme val="minor"/>
    </font>
    <font>
      <b/>
      <sz val="11"/>
      <color rgb="FF305496"/>
      <name val="Calibri"/>
      <family val="2"/>
      <scheme val="minor"/>
    </font>
    <font>
      <sz val="11"/>
      <color rgb="FF000000"/>
      <name val="Calibri"/>
      <family val="2"/>
    </font>
    <font>
      <sz val="8"/>
      <name val="Calibri"/>
      <family val="2"/>
      <scheme val="minor"/>
    </font>
    <font>
      <sz val="11"/>
      <color theme="1"/>
      <name val="Calibri"/>
      <family val="2"/>
      <scheme val="minor"/>
    </font>
    <font>
      <b/>
      <sz val="8"/>
      <color rgb="FF0D0F12"/>
      <name val="Courier New"/>
      <family val="3"/>
    </font>
    <font>
      <b/>
      <sz val="11"/>
      <color rgb="FF0D0F12"/>
      <name val="Calibri"/>
      <family val="2"/>
      <scheme val="minor"/>
    </font>
    <font>
      <sz val="11"/>
      <color rgb="FF0D0F12"/>
      <name val="Calibri"/>
      <family val="2"/>
      <scheme val="minor"/>
    </font>
    <font>
      <sz val="8"/>
      <color rgb="FF0D0F12"/>
      <name val="Source Sans Pro"/>
      <family val="2"/>
    </font>
  </fonts>
  <fills count="3">
    <fill>
      <patternFill patternType="none"/>
    </fill>
    <fill>
      <patternFill patternType="gray125"/>
    </fill>
    <fill>
      <patternFill patternType="solid">
        <fgColor theme="8" tint="0.79998168889431442"/>
        <bgColor indexed="64"/>
      </patternFill>
    </fill>
  </fills>
  <borders count="7">
    <border>
      <left/>
      <right/>
      <top/>
      <bottom/>
      <diagonal/>
    </border>
    <border>
      <left style="thin">
        <color rgb="FFD0D7E5"/>
      </left>
      <right style="thin">
        <color rgb="FFD0D7E5"/>
      </right>
      <top style="thin">
        <color rgb="FFD0D7E5"/>
      </top>
      <bottom style="thin">
        <color rgb="FFD0D7E5"/>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164" fontId="6" fillId="0" borderId="0" applyFont="0" applyFill="0" applyBorder="0" applyAlignment="0" applyProtection="0"/>
  </cellStyleXfs>
  <cellXfs count="27">
    <xf numFmtId="0" fontId="0" fillId="0" borderId="0" xfId="0"/>
    <xf numFmtId="0" fontId="1" fillId="0" borderId="0" xfId="0" applyFont="1"/>
    <xf numFmtId="0" fontId="2" fillId="0" borderId="0" xfId="0" applyFont="1"/>
    <xf numFmtId="9" fontId="2" fillId="0" borderId="0" xfId="0" applyNumberFormat="1" applyFont="1" applyAlignment="1">
      <alignment horizontal="center"/>
    </xf>
    <xf numFmtId="0" fontId="4" fillId="0" borderId="1" xfId="0" applyFont="1" applyBorder="1" applyAlignment="1">
      <alignment vertical="center" wrapText="1"/>
    </xf>
    <xf numFmtId="165" fontId="2" fillId="0" borderId="0" xfId="0" applyNumberFormat="1" applyFont="1"/>
    <xf numFmtId="165" fontId="2" fillId="0" borderId="0" xfId="0" applyNumberFormat="1" applyFont="1" applyAlignment="1">
      <alignment horizontal="center"/>
    </xf>
    <xf numFmtId="0" fontId="2" fillId="0" borderId="0" xfId="0" applyFont="1" applyAlignment="1">
      <alignment horizontal="right"/>
    </xf>
    <xf numFmtId="0" fontId="2" fillId="0" borderId="0" xfId="0" applyFont="1" applyAlignment="1">
      <alignment wrapText="1"/>
    </xf>
    <xf numFmtId="165" fontId="0" fillId="0" borderId="0" xfId="0" applyNumberFormat="1"/>
    <xf numFmtId="0" fontId="2" fillId="0" borderId="0" xfId="0" applyFont="1" applyAlignment="1">
      <alignment horizontal="center"/>
    </xf>
    <xf numFmtId="0" fontId="0" fillId="0" borderId="0" xfId="0" applyAlignment="1">
      <alignment horizontal="center"/>
    </xf>
    <xf numFmtId="0" fontId="3" fillId="2" borderId="2" xfId="0" applyFont="1" applyFill="1" applyBorder="1" applyAlignment="1">
      <alignment vertical="center" wrapText="1"/>
    </xf>
    <xf numFmtId="0" fontId="3" fillId="2" borderId="2" xfId="0" applyFont="1" applyFill="1" applyBorder="1" applyAlignment="1">
      <alignment horizontal="center" vertical="center" wrapText="1"/>
    </xf>
    <xf numFmtId="0" fontId="0" fillId="0" borderId="0" xfId="0" applyAlignment="1">
      <alignment horizontal="left"/>
    </xf>
    <xf numFmtId="165" fontId="2" fillId="0" borderId="0" xfId="1" applyNumberFormat="1" applyFont="1" applyAlignment="1">
      <alignment horizontal="center"/>
    </xf>
    <xf numFmtId="0" fontId="1" fillId="0" borderId="0" xfId="0" applyFont="1" applyAlignment="1">
      <alignment horizontal="left"/>
    </xf>
    <xf numFmtId="0" fontId="7" fillId="0" borderId="0" xfId="0" applyFont="1"/>
    <xf numFmtId="0" fontId="0" fillId="0" borderId="3" xfId="0" applyFont="1" applyBorder="1" applyAlignment="1">
      <alignment horizontal="center" vertical="center"/>
    </xf>
    <xf numFmtId="0" fontId="0" fillId="0" borderId="3" xfId="0" applyFont="1" applyBorder="1" applyAlignment="1">
      <alignment vertical="center" wrapText="1"/>
    </xf>
    <xf numFmtId="0" fontId="8" fillId="0" borderId="3" xfId="0" applyFont="1" applyBorder="1" applyAlignment="1">
      <alignment vertical="center" wrapText="1"/>
    </xf>
    <xf numFmtId="0" fontId="8" fillId="0" borderId="3" xfId="0" applyNumberFormat="1" applyFont="1" applyBorder="1" applyAlignment="1">
      <alignment vertical="center" wrapText="1"/>
    </xf>
    <xf numFmtId="0" fontId="0" fillId="0" borderId="4" xfId="0" applyFont="1" applyBorder="1" applyAlignment="1">
      <alignment horizontal="center" vertical="center"/>
    </xf>
    <xf numFmtId="0" fontId="0" fillId="0" borderId="5" xfId="0" applyFont="1" applyBorder="1" applyAlignment="1">
      <alignment horizontal="center" vertical="center"/>
    </xf>
    <xf numFmtId="0" fontId="0" fillId="0" borderId="6" xfId="0" applyFont="1" applyBorder="1" applyAlignment="1">
      <alignment horizontal="center" vertical="center"/>
    </xf>
    <xf numFmtId="14" fontId="10" fillId="0" borderId="0" xfId="0" applyNumberFormat="1" applyFont="1"/>
    <xf numFmtId="14" fontId="2" fillId="0" borderId="0" xfId="0" applyNumberFormat="1"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326A5-9C46-476F-B7DB-2D9A02CBC960}">
  <dimension ref="A1:B15"/>
  <sheetViews>
    <sheetView workbookViewId="0">
      <selection activeCell="B9" sqref="B9"/>
    </sheetView>
  </sheetViews>
  <sheetFormatPr defaultRowHeight="14.5" x14ac:dyDescent="0.35"/>
  <cols>
    <col min="1" max="1" width="5.7265625" style="11" customWidth="1"/>
    <col min="2" max="2" width="77" customWidth="1"/>
  </cols>
  <sheetData>
    <row r="1" spans="1:2" ht="58" x14ac:dyDescent="0.35">
      <c r="A1" s="22">
        <v>1</v>
      </c>
      <c r="B1" s="19" t="s">
        <v>52</v>
      </c>
    </row>
    <row r="2" spans="1:2" x14ac:dyDescent="0.35">
      <c r="A2" s="23"/>
      <c r="B2" s="20" t="s">
        <v>53</v>
      </c>
    </row>
    <row r="3" spans="1:2" x14ac:dyDescent="0.35">
      <c r="A3" s="23"/>
      <c r="B3" s="21" t="s">
        <v>54</v>
      </c>
    </row>
    <row r="4" spans="1:2" ht="29" x14ac:dyDescent="0.35">
      <c r="A4" s="24"/>
      <c r="B4" s="20" t="s">
        <v>62</v>
      </c>
    </row>
    <row r="5" spans="1:2" ht="43.5" x14ac:dyDescent="0.35">
      <c r="A5" s="22">
        <v>2</v>
      </c>
      <c r="B5" s="19" t="s">
        <v>55</v>
      </c>
    </row>
    <row r="6" spans="1:2" ht="43.5" x14ac:dyDescent="0.35">
      <c r="A6" s="23"/>
      <c r="B6" s="19" t="s">
        <v>56</v>
      </c>
    </row>
    <row r="7" spans="1:2" ht="72.5" x14ac:dyDescent="0.35">
      <c r="A7" s="24"/>
      <c r="B7" s="20" t="s">
        <v>63</v>
      </c>
    </row>
    <row r="8" spans="1:2" ht="29" x14ac:dyDescent="0.35">
      <c r="A8" s="18">
        <v>3</v>
      </c>
      <c r="B8" s="19" t="s">
        <v>57</v>
      </c>
    </row>
    <row r="9" spans="1:2" ht="29" x14ac:dyDescent="0.35">
      <c r="A9" s="18">
        <v>4</v>
      </c>
      <c r="B9" s="19" t="s">
        <v>58</v>
      </c>
    </row>
    <row r="10" spans="1:2" ht="29" x14ac:dyDescent="0.35">
      <c r="A10" s="22">
        <v>5</v>
      </c>
      <c r="B10" s="19" t="s">
        <v>59</v>
      </c>
    </row>
    <row r="11" spans="1:2" ht="29" x14ac:dyDescent="0.35">
      <c r="A11" s="24"/>
      <c r="B11" s="20" t="s">
        <v>64</v>
      </c>
    </row>
    <row r="12" spans="1:2" ht="29" x14ac:dyDescent="0.35">
      <c r="A12" s="22">
        <v>6</v>
      </c>
      <c r="B12" s="19" t="s">
        <v>60</v>
      </c>
    </row>
    <row r="13" spans="1:2" ht="29" x14ac:dyDescent="0.35">
      <c r="A13" s="24"/>
      <c r="B13" s="20" t="s">
        <v>65</v>
      </c>
    </row>
    <row r="14" spans="1:2" ht="29" x14ac:dyDescent="0.35">
      <c r="A14" s="22">
        <v>7</v>
      </c>
      <c r="B14" s="19" t="s">
        <v>61</v>
      </c>
    </row>
    <row r="15" spans="1:2" ht="29" x14ac:dyDescent="0.35">
      <c r="A15" s="24"/>
      <c r="B15" s="20" t="s">
        <v>66</v>
      </c>
    </row>
  </sheetData>
  <mergeCells count="5">
    <mergeCell ref="A1:A4"/>
    <mergeCell ref="A5:A7"/>
    <mergeCell ref="A10:A11"/>
    <mergeCell ref="A12:A13"/>
    <mergeCell ref="A14:A1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50A0C-5CC8-419C-8BA8-1410FD083070}">
  <dimension ref="A1:M17"/>
  <sheetViews>
    <sheetView tabSelected="1" topLeftCell="C1" workbookViewId="0">
      <selection activeCell="L2" sqref="L2"/>
    </sheetView>
  </sheetViews>
  <sheetFormatPr defaultRowHeight="14.5" x14ac:dyDescent="0.35"/>
  <cols>
    <col min="2" max="2" width="17" bestFit="1" customWidth="1"/>
    <col min="3" max="3" width="17" customWidth="1"/>
    <col min="4" max="4" width="20.453125" bestFit="1" customWidth="1"/>
    <col min="6" max="6" width="11.54296875" customWidth="1"/>
    <col min="7" max="8" width="12.81640625" style="11" customWidth="1"/>
    <col min="9" max="10" width="13.1796875" customWidth="1"/>
    <col min="11" max="12" width="13.7265625" customWidth="1"/>
    <col min="13" max="13" width="11.7265625" customWidth="1"/>
    <col min="16" max="16" width="10.26953125" customWidth="1"/>
  </cols>
  <sheetData>
    <row r="1" spans="1:13" ht="18.5" x14ac:dyDescent="0.45">
      <c r="A1" s="1" t="s">
        <v>0</v>
      </c>
      <c r="B1" s="1"/>
      <c r="C1" s="16" t="s">
        <v>1</v>
      </c>
      <c r="D1" s="16"/>
      <c r="E1" s="1"/>
      <c r="F1" s="1"/>
      <c r="G1" s="1" t="s">
        <v>2</v>
      </c>
      <c r="H1" s="10"/>
      <c r="I1" s="2"/>
      <c r="J1" s="2"/>
      <c r="K1" s="1"/>
      <c r="L1" s="1"/>
    </row>
    <row r="2" spans="1:13" x14ac:dyDescent="0.35">
      <c r="B2" s="2"/>
      <c r="C2" t="s">
        <v>3</v>
      </c>
      <c r="D2" s="14">
        <v>50</v>
      </c>
      <c r="E2" s="2"/>
      <c r="F2" s="2"/>
      <c r="G2" t="s">
        <v>3</v>
      </c>
      <c r="H2" s="15">
        <f>SUMIF($J$7:$J$16, "A", $M$7:$M$16)</f>
        <v>40582.5</v>
      </c>
      <c r="I2" s="2"/>
      <c r="J2" s="26"/>
      <c r="K2" s="25"/>
      <c r="L2" s="17"/>
    </row>
    <row r="3" spans="1:13" x14ac:dyDescent="0.35">
      <c r="A3" s="8"/>
      <c r="B3" s="3"/>
      <c r="C3" t="s">
        <v>4</v>
      </c>
      <c r="D3" s="14">
        <v>75</v>
      </c>
      <c r="E3" s="3"/>
      <c r="F3" s="2"/>
      <c r="G3" t="s">
        <v>4</v>
      </c>
      <c r="H3" s="15">
        <f>SUMIF($J$7:$J$16, "B", $M$7:$M$16)</f>
        <v>35325</v>
      </c>
      <c r="I3" s="2"/>
      <c r="J3" s="2"/>
      <c r="K3" s="2"/>
      <c r="L3" s="2"/>
    </row>
    <row r="4" spans="1:13" x14ac:dyDescent="0.35">
      <c r="A4" s="2"/>
      <c r="B4" s="2"/>
      <c r="C4" t="s">
        <v>5</v>
      </c>
      <c r="D4" s="14">
        <v>100</v>
      </c>
      <c r="E4" s="2"/>
      <c r="F4" s="2"/>
      <c r="G4" t="s">
        <v>5</v>
      </c>
      <c r="H4" s="15">
        <f>SUMIF($J$7:$J$16, "C", $M$7:$M$16)</f>
        <v>21650</v>
      </c>
      <c r="I4" s="2"/>
      <c r="J4" s="2"/>
      <c r="K4" s="2"/>
      <c r="L4" s="2"/>
    </row>
    <row r="5" spans="1:13" ht="15" thickBot="1" x14ac:dyDescent="0.4">
      <c r="A5" s="2"/>
      <c r="B5" s="2"/>
      <c r="E5" s="2"/>
      <c r="F5" s="2"/>
      <c r="G5" s="10"/>
      <c r="H5" s="6"/>
      <c r="I5" s="2"/>
      <c r="J5" s="2"/>
      <c r="K5" s="2"/>
      <c r="L5" s="2"/>
    </row>
    <row r="6" spans="1:13" ht="44" thickBot="1" x14ac:dyDescent="0.4">
      <c r="A6" s="12" t="s">
        <v>6</v>
      </c>
      <c r="B6" s="12" t="s">
        <v>7</v>
      </c>
      <c r="C6" s="12" t="s">
        <v>8</v>
      </c>
      <c r="D6" s="12" t="s">
        <v>9</v>
      </c>
      <c r="E6" s="13" t="s">
        <v>10</v>
      </c>
      <c r="F6" s="13" t="s">
        <v>11</v>
      </c>
      <c r="G6" s="13" t="s">
        <v>12</v>
      </c>
      <c r="H6" s="13" t="s">
        <v>13</v>
      </c>
      <c r="I6" s="13" t="s">
        <v>14</v>
      </c>
      <c r="J6" s="13" t="s">
        <v>15</v>
      </c>
      <c r="K6" s="13" t="s">
        <v>16</v>
      </c>
      <c r="L6" s="13" t="s">
        <v>17</v>
      </c>
      <c r="M6" s="13" t="s">
        <v>18</v>
      </c>
    </row>
    <row r="7" spans="1:13" x14ac:dyDescent="0.35">
      <c r="A7" s="2" t="s">
        <v>19</v>
      </c>
      <c r="B7" s="2" t="s">
        <v>20</v>
      </c>
      <c r="C7" s="2" t="s">
        <v>21</v>
      </c>
      <c r="D7" s="2" t="s">
        <v>22</v>
      </c>
      <c r="E7" s="5">
        <v>21</v>
      </c>
      <c r="F7" s="7">
        <v>750</v>
      </c>
      <c r="G7" s="6">
        <v>15750</v>
      </c>
      <c r="H7" s="3">
        <f>IF(G7&gt;10000,10%,0)</f>
        <v>0.1</v>
      </c>
      <c r="I7" s="5">
        <f>G7*H7</f>
        <v>1575</v>
      </c>
      <c r="J7" s="5" t="s">
        <v>23</v>
      </c>
      <c r="K7" s="5">
        <f>G7-I7</f>
        <v>14175</v>
      </c>
      <c r="L7" s="5" cm="1">
        <f t="array" ref="L7">_xlfn.IFS(J7="A",$D$2,J7="B",$D$3,TRUE,$D$4)</f>
        <v>75</v>
      </c>
      <c r="M7" s="9">
        <f>K7+L7</f>
        <v>14250</v>
      </c>
    </row>
    <row r="8" spans="1:13" x14ac:dyDescent="0.35">
      <c r="A8" s="2" t="s">
        <v>24</v>
      </c>
      <c r="B8" s="2" t="s">
        <v>20</v>
      </c>
      <c r="C8" s="2" t="s">
        <v>25</v>
      </c>
      <c r="D8" s="2" t="s">
        <v>22</v>
      </c>
      <c r="E8" s="5">
        <v>21</v>
      </c>
      <c r="F8" s="7">
        <v>300</v>
      </c>
      <c r="G8" s="6">
        <v>6300</v>
      </c>
      <c r="H8" s="3">
        <f t="shared" ref="H8:H16" si="0">IF(G8&gt;10000, 10%, 0)</f>
        <v>0</v>
      </c>
      <c r="I8" s="5">
        <f t="shared" ref="I8:I16" si="1">G8*H8</f>
        <v>0</v>
      </c>
      <c r="J8" s="5" t="s">
        <v>26</v>
      </c>
      <c r="K8" s="5">
        <f t="shared" ref="K8:K16" si="2">G8-I8</f>
        <v>6300</v>
      </c>
      <c r="L8" s="5" cm="1">
        <f t="array" ref="L8">_xlfn.IFS(J8="A",$D$2,J8="B",$D$3,TRUE,$D$4)</f>
        <v>50</v>
      </c>
      <c r="M8" s="9">
        <f t="shared" ref="M8:M16" si="3">K8+L8</f>
        <v>6350</v>
      </c>
    </row>
    <row r="9" spans="1:13" x14ac:dyDescent="0.35">
      <c r="A9" s="2" t="s">
        <v>27</v>
      </c>
      <c r="B9" s="2" t="s">
        <v>28</v>
      </c>
      <c r="C9" s="2" t="s">
        <v>29</v>
      </c>
      <c r="D9" s="2" t="s">
        <v>30</v>
      </c>
      <c r="E9" s="5">
        <v>95</v>
      </c>
      <c r="F9" s="7">
        <v>150</v>
      </c>
      <c r="G9" s="6">
        <v>14250</v>
      </c>
      <c r="H9" s="3">
        <f t="shared" si="0"/>
        <v>0.1</v>
      </c>
      <c r="I9" s="5">
        <f t="shared" si="1"/>
        <v>1425</v>
      </c>
      <c r="J9" s="5" t="s">
        <v>26</v>
      </c>
      <c r="K9" s="5">
        <f t="shared" si="2"/>
        <v>12825</v>
      </c>
      <c r="L9" s="5" cm="1">
        <f t="array" ref="L9">_xlfn.IFS(J9="A",$D$2,J9="B",$D$3,TRUE,$D$4)</f>
        <v>50</v>
      </c>
      <c r="M9" s="9">
        <f t="shared" si="3"/>
        <v>12875</v>
      </c>
    </row>
    <row r="10" spans="1:13" x14ac:dyDescent="0.35">
      <c r="A10" s="2" t="s">
        <v>31</v>
      </c>
      <c r="B10" s="2" t="s">
        <v>28</v>
      </c>
      <c r="C10" s="2" t="s">
        <v>32</v>
      </c>
      <c r="D10" s="2" t="s">
        <v>30</v>
      </c>
      <c r="E10" s="5">
        <v>115</v>
      </c>
      <c r="F10" s="7">
        <v>100</v>
      </c>
      <c r="G10" s="6">
        <v>11500</v>
      </c>
      <c r="H10" s="3">
        <f t="shared" si="0"/>
        <v>0.1</v>
      </c>
      <c r="I10" s="5">
        <f t="shared" si="1"/>
        <v>1150</v>
      </c>
      <c r="J10" s="5" t="s">
        <v>33</v>
      </c>
      <c r="K10" s="5">
        <f t="shared" si="2"/>
        <v>10350</v>
      </c>
      <c r="L10" s="5" cm="1">
        <f t="array" ref="L10">_xlfn.IFS(J10="A",$D$2,J10="B",$D$3,TRUE,$D$4)</f>
        <v>100</v>
      </c>
      <c r="M10" s="9">
        <f t="shared" si="3"/>
        <v>10450</v>
      </c>
    </row>
    <row r="11" spans="1:13" x14ac:dyDescent="0.35">
      <c r="A11" s="2" t="s">
        <v>34</v>
      </c>
      <c r="B11" s="2" t="s">
        <v>35</v>
      </c>
      <c r="C11" s="2" t="s">
        <v>36</v>
      </c>
      <c r="D11" s="4" t="s">
        <v>37</v>
      </c>
      <c r="E11" s="5">
        <v>21</v>
      </c>
      <c r="F11" s="7">
        <v>500</v>
      </c>
      <c r="G11" s="6">
        <v>10500</v>
      </c>
      <c r="H11" s="3">
        <f t="shared" si="0"/>
        <v>0.1</v>
      </c>
      <c r="I11" s="5">
        <f t="shared" si="1"/>
        <v>1050</v>
      </c>
      <c r="J11" s="5" t="s">
        <v>23</v>
      </c>
      <c r="K11" s="5">
        <f t="shared" si="2"/>
        <v>9450</v>
      </c>
      <c r="L11" s="5" cm="1">
        <f t="array" ref="L11">_xlfn.IFS(J11="A",$D$2,J11="B",$D$3,TRUE,$D$4)</f>
        <v>75</v>
      </c>
      <c r="M11" s="9">
        <f t="shared" si="3"/>
        <v>9525</v>
      </c>
    </row>
    <row r="12" spans="1:13" x14ac:dyDescent="0.35">
      <c r="A12" s="2" t="s">
        <v>38</v>
      </c>
      <c r="B12" s="2" t="s">
        <v>35</v>
      </c>
      <c r="C12" s="2" t="s">
        <v>39</v>
      </c>
      <c r="D12" s="4" t="s">
        <v>37</v>
      </c>
      <c r="E12" s="5">
        <v>21</v>
      </c>
      <c r="F12" s="7">
        <v>675</v>
      </c>
      <c r="G12" s="6">
        <v>14175</v>
      </c>
      <c r="H12" s="3">
        <f t="shared" si="0"/>
        <v>0.1</v>
      </c>
      <c r="I12" s="5">
        <f t="shared" si="1"/>
        <v>1417.5</v>
      </c>
      <c r="J12" s="5" t="s">
        <v>26</v>
      </c>
      <c r="K12" s="5">
        <f t="shared" si="2"/>
        <v>12757.5</v>
      </c>
      <c r="L12" s="5" cm="1">
        <f t="array" ref="L12">_xlfn.IFS(J12="A",$D$2,J12="B",$D$3,TRUE,$D$4)</f>
        <v>50</v>
      </c>
      <c r="M12" s="9">
        <f t="shared" si="3"/>
        <v>12807.5</v>
      </c>
    </row>
    <row r="13" spans="1:13" x14ac:dyDescent="0.35">
      <c r="A13" s="2" t="s">
        <v>40</v>
      </c>
      <c r="B13" s="2" t="s">
        <v>41</v>
      </c>
      <c r="C13" s="2" t="s">
        <v>42</v>
      </c>
      <c r="D13" s="2" t="s">
        <v>43</v>
      </c>
      <c r="E13" s="5">
        <v>24</v>
      </c>
      <c r="F13" s="7">
        <v>250</v>
      </c>
      <c r="G13" s="6">
        <v>6000</v>
      </c>
      <c r="H13" s="3">
        <f t="shared" si="0"/>
        <v>0</v>
      </c>
      <c r="I13" s="5">
        <f t="shared" si="1"/>
        <v>0</v>
      </c>
      <c r="J13" s="5" t="s">
        <v>33</v>
      </c>
      <c r="K13" s="5">
        <f t="shared" si="2"/>
        <v>6000</v>
      </c>
      <c r="L13" s="5" cm="1">
        <f t="array" ref="L13">_xlfn.IFS(J13="A",$D$2,J13="B",$D$3,TRUE,$D$4)</f>
        <v>100</v>
      </c>
      <c r="M13" s="9">
        <f t="shared" si="3"/>
        <v>6100</v>
      </c>
    </row>
    <row r="14" spans="1:13" x14ac:dyDescent="0.35">
      <c r="A14" s="2" t="s">
        <v>44</v>
      </c>
      <c r="B14" s="2" t="s">
        <v>41</v>
      </c>
      <c r="C14" s="2" t="s">
        <v>45</v>
      </c>
      <c r="D14" s="2" t="s">
        <v>43</v>
      </c>
      <c r="E14" s="5">
        <v>20</v>
      </c>
      <c r="F14" s="7">
        <v>250</v>
      </c>
      <c r="G14" s="6">
        <v>5000</v>
      </c>
      <c r="H14" s="3">
        <f t="shared" si="0"/>
        <v>0</v>
      </c>
      <c r="I14" s="5">
        <f t="shared" si="1"/>
        <v>0</v>
      </c>
      <c r="J14" s="5" t="s">
        <v>33</v>
      </c>
      <c r="K14" s="5">
        <f t="shared" si="2"/>
        <v>5000</v>
      </c>
      <c r="L14" s="5" cm="1">
        <f t="array" ref="L14">_xlfn.IFS(J14="A",$D$2,J14="B",$D$3,TRUE,$D$4)</f>
        <v>100</v>
      </c>
      <c r="M14" s="9">
        <f t="shared" si="3"/>
        <v>5100</v>
      </c>
    </row>
    <row r="15" spans="1:13" x14ac:dyDescent="0.35">
      <c r="A15" s="2" t="s">
        <v>46</v>
      </c>
      <c r="B15" s="2" t="s">
        <v>47</v>
      </c>
      <c r="C15" s="2" t="s">
        <v>48</v>
      </c>
      <c r="D15" t="s">
        <v>49</v>
      </c>
      <c r="E15" s="5">
        <v>17</v>
      </c>
      <c r="F15" s="7">
        <v>500</v>
      </c>
      <c r="G15" s="6">
        <v>8500</v>
      </c>
      <c r="H15" s="3">
        <f t="shared" si="0"/>
        <v>0</v>
      </c>
      <c r="I15" s="5">
        <f t="shared" si="1"/>
        <v>0</v>
      </c>
      <c r="J15" s="5" t="s">
        <v>26</v>
      </c>
      <c r="K15" s="5">
        <f t="shared" si="2"/>
        <v>8500</v>
      </c>
      <c r="L15" s="5" cm="1">
        <f t="array" ref="L15">_xlfn.IFS(J15="A",$D$2,J15="B",$D$3,TRUE,$D$4)</f>
        <v>50</v>
      </c>
      <c r="M15" s="9">
        <f t="shared" si="3"/>
        <v>8550</v>
      </c>
    </row>
    <row r="16" spans="1:13" x14ac:dyDescent="0.35">
      <c r="A16" s="2" t="s">
        <v>50</v>
      </c>
      <c r="B16" s="2" t="s">
        <v>47</v>
      </c>
      <c r="C16" t="s">
        <v>51</v>
      </c>
      <c r="D16" t="s">
        <v>49</v>
      </c>
      <c r="E16" s="5">
        <v>17</v>
      </c>
      <c r="F16" s="7">
        <v>750</v>
      </c>
      <c r="G16" s="6">
        <v>12750</v>
      </c>
      <c r="H16" s="3">
        <f t="shared" si="0"/>
        <v>0.1</v>
      </c>
      <c r="I16" s="5">
        <f t="shared" si="1"/>
        <v>1275</v>
      </c>
      <c r="J16" s="5" t="s">
        <v>23</v>
      </c>
      <c r="K16" s="5">
        <f t="shared" si="2"/>
        <v>11475</v>
      </c>
      <c r="L16" s="5" cm="1">
        <f t="array" ref="L16">_xlfn.IFS(J16="A",$D$2,J16="B",$D$3,TRUE,$D$4)</f>
        <v>75</v>
      </c>
      <c r="M16" s="9">
        <f t="shared" si="3"/>
        <v>11550</v>
      </c>
    </row>
    <row r="17" spans="13:13" x14ac:dyDescent="0.35">
      <c r="M17" s="9"/>
    </row>
  </sheetData>
  <mergeCells count="1">
    <mergeCell ref="C1:D1"/>
  </mergeCells>
  <phoneticPr fontId="5"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EAC3B332A2FD04E918F9FD72E2B30AC" ma:contentTypeVersion="13" ma:contentTypeDescription="Create a new document." ma:contentTypeScope="" ma:versionID="d6d948adb3d144107cfe4729b36cffcc">
  <xsd:schema xmlns:xsd="http://www.w3.org/2001/XMLSchema" xmlns:xs="http://www.w3.org/2001/XMLSchema" xmlns:p="http://schemas.microsoft.com/office/2006/metadata/properties" xmlns:ns2="2aed4346-8012-4133-9837-e496d0f5c99a" xmlns:ns3="15179a99-4cef-4bac-ab20-a4c03d7ec5db" targetNamespace="http://schemas.microsoft.com/office/2006/metadata/properties" ma:root="true" ma:fieldsID="9fbc5a941f941688c85ed9188582636e" ns2:_="" ns3:_="">
    <xsd:import namespace="2aed4346-8012-4133-9837-e496d0f5c99a"/>
    <xsd:import namespace="15179a99-4cef-4bac-ab20-a4c03d7ec5d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ed4346-8012-4133-9837-e496d0f5c9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8ab54dcd-10f4-4387-be87-f6954a0a496f"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Status" ma:index="20" nillable="true" ma:displayName="Status" ma:format="Dropdown" ma:internalName="Statu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5179a99-4cef-4bac-ab20-a4c03d7ec5d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198d3cae-38ff-4d20-85fe-2df5e94cea45}" ma:internalName="TaxCatchAll" ma:showField="CatchAllData" ma:web="15179a99-4cef-4bac-ab20-a4c03d7ec5db">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5179a99-4cef-4bac-ab20-a4c03d7ec5db" xsi:nil="true"/>
    <lcf76f155ced4ddcb4097134ff3c332f xmlns="2aed4346-8012-4133-9837-e496d0f5c99a">
      <Terms xmlns="http://schemas.microsoft.com/office/infopath/2007/PartnerControls"/>
    </lcf76f155ced4ddcb4097134ff3c332f>
    <SharedWithUsers xmlns="15179a99-4cef-4bac-ab20-a4c03d7ec5db">
      <UserInfo>
        <DisplayName/>
        <AccountId xsi:nil="true"/>
        <AccountType/>
      </UserInfo>
    </SharedWithUsers>
    <MediaLengthInSeconds xmlns="2aed4346-8012-4133-9837-e496d0f5c99a" xsi:nil="true"/>
    <Status xmlns="2aed4346-8012-4133-9837-e496d0f5c99a" xsi:nil="true"/>
  </documentManagement>
</p:properties>
</file>

<file path=customXml/itemProps1.xml><?xml version="1.0" encoding="utf-8"?>
<ds:datastoreItem xmlns:ds="http://schemas.openxmlformats.org/officeDocument/2006/customXml" ds:itemID="{75AEEDF9-0B70-424C-8DA2-B4649D7D6C19}">
  <ds:schemaRefs>
    <ds:schemaRef ds:uri="http://schemas.microsoft.com/sharepoint/v3/contenttype/forms"/>
  </ds:schemaRefs>
</ds:datastoreItem>
</file>

<file path=customXml/itemProps2.xml><?xml version="1.0" encoding="utf-8"?>
<ds:datastoreItem xmlns:ds="http://schemas.openxmlformats.org/officeDocument/2006/customXml" ds:itemID="{2686B4B2-1502-4709-AD9B-9256F5B05C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ed4346-8012-4133-9837-e496d0f5c99a"/>
    <ds:schemaRef ds:uri="15179a99-4cef-4bac-ab20-a4c03d7ec5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E771D00-F70B-4A71-A745-CFD4425C64F9}">
  <ds:schemaRefs>
    <ds:schemaRef ds:uri="http://schemas.microsoft.com/office/2006/metadata/properties"/>
    <ds:schemaRef ds:uri="http://schemas.microsoft.com/office/infopath/2007/PartnerControls"/>
    <ds:schemaRef ds:uri="15179a99-4cef-4bac-ab20-a4c03d7ec5db"/>
    <ds:schemaRef ds:uri="2aed4346-8012-4133-9837-e496d0f5c9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vt:lpstr>
      <vt:lpstr>Order Details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2023-04-23T15:42:21Z</dcterms:created>
  <dcterms:modified xsi:type="dcterms:W3CDTF">2026-07-19T02:04:17Z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0x0101006EAC3B332A2FD04E918F9FD72E2B30AC</vt:lpwstr>
  </property>
  <property fmtid="{D5CDD505-2E9C-101B-9397-08002B2CF9AE}" pid="3" name="Order">
    <vt:r8>277100</vt:r8>
  </property>
  <property fmtid="{D5CDD505-2E9C-101B-9397-08002B2CF9AE}" pid="4" name="TriggerFlowInfo">
    <vt:lpwstr/>
  </property>
  <property fmtid="{D5CDD505-2E9C-101B-9397-08002B2CF9AE}" pid="5" name="_ColorHex">
    <vt:lpwstr/>
  </property>
  <property fmtid="{D5CDD505-2E9C-101B-9397-08002B2CF9AE}" pid="6" name="_Emoji">
    <vt:lpwstr/>
  </property>
  <property fmtid="{D5CDD505-2E9C-101B-9397-08002B2CF9AE}" pid="7" name="ComplianceAssetId">
    <vt:lpwstr/>
  </property>
  <property fmtid="{D5CDD505-2E9C-101B-9397-08002B2CF9AE}" pid="8" name="_activity">
    <vt:lpwstr>{"FileActivityType":"9","FileActivityTimeStamp":"2023-05-15T10:33:47.603Z","FileActivityUsersOnPage":[{"DisplayName":"Margaret Brennan","Id":"brennanm@sureskills.com"}],"FileActivityNavigationId":null}</vt:lpwstr>
  </property>
  <property fmtid="{D5CDD505-2E9C-101B-9397-08002B2CF9AE}" pid="9" name="_ExtendedDescription">
    <vt:lpwstr/>
  </property>
  <property fmtid="{D5CDD505-2E9C-101B-9397-08002B2CF9AE}" pid="10" name="_ColorTag">
    <vt:lpwstr/>
  </property>
  <property fmtid="{D5CDD505-2E9C-101B-9397-08002B2CF9AE}" pid="11" name="MediaServiceImageTags">
    <vt:lpwstr/>
  </property>
</Properties>
</file>